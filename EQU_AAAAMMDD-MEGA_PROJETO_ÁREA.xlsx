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e Cotação_Demercado" sheetId="1" r:id="rId5"/>
    <sheet state="visible" name="Mapa de Cotação_CR" sheetId="2" r:id="rId6"/>
  </sheets>
  <definedNames/>
  <calcPr/>
</workbook>
</file>

<file path=xl/sharedStrings.xml><?xml version="1.0" encoding="utf-8"?>
<sst xmlns="http://schemas.openxmlformats.org/spreadsheetml/2006/main" count="142" uniqueCount="61">
  <si>
    <t>INFORMAÇÕES OBRIGATÓRIAS</t>
  </si>
  <si>
    <t>Empresa:</t>
  </si>
  <si>
    <t>Proponentes:</t>
  </si>
  <si>
    <t>DEMERCADO INVESTIMENTOS S.A.</t>
  </si>
  <si>
    <t>CAPITAL INFRAESTRUTURA LOGÍSTICA LTDA.</t>
  </si>
  <si>
    <t>Cód. Fornecedor:</t>
  </si>
  <si>
    <t>Empreendimento:</t>
  </si>
  <si>
    <t>Razão:</t>
  </si>
  <si>
    <t>Contato:</t>
  </si>
  <si>
    <t>Favoravel à contratação e por que?</t>
  </si>
  <si>
    <t>Projeto:</t>
  </si>
  <si>
    <t>Cidade/Estado:</t>
  </si>
  <si>
    <t>Telefone:</t>
  </si>
  <si>
    <t>Data da equalização:</t>
  </si>
  <si>
    <t>Grupo Centro de Custo:</t>
  </si>
  <si>
    <t>CNPJ:</t>
  </si>
  <si>
    <t>Email:</t>
  </si>
  <si>
    <t>1.</t>
  </si>
  <si>
    <t>ETAPA 01</t>
  </si>
  <si>
    <t>Observação:</t>
  </si>
  <si>
    <t>1.1</t>
  </si>
  <si>
    <t>SUB ETAPA 1</t>
  </si>
  <si>
    <t>1.1.1</t>
  </si>
  <si>
    <t>ATIVIDADE 1</t>
  </si>
  <si>
    <t>1.1.2</t>
  </si>
  <si>
    <t>ATIVIDADE 2</t>
  </si>
  <si>
    <t>1.2</t>
  </si>
  <si>
    <t>SUB ESTAPA 2</t>
  </si>
  <si>
    <t>1.2.1</t>
  </si>
  <si>
    <t>1.2.2</t>
  </si>
  <si>
    <t>1.3</t>
  </si>
  <si>
    <t>SUB ESTAPA 3</t>
  </si>
  <si>
    <t>1.3.3</t>
  </si>
  <si>
    <t>1.3.5</t>
  </si>
  <si>
    <t>1.3.7</t>
  </si>
  <si>
    <t>ATIVIDADE 3</t>
  </si>
  <si>
    <t>2.</t>
  </si>
  <si>
    <t>ETAPA 02</t>
  </si>
  <si>
    <t>2.1</t>
  </si>
  <si>
    <t>2.2.1</t>
  </si>
  <si>
    <t>2.2</t>
  </si>
  <si>
    <t>2.2.2</t>
  </si>
  <si>
    <t>2.2.3</t>
  </si>
  <si>
    <t>VALOR TOTAL</t>
  </si>
  <si>
    <t>Numero da Proposta:</t>
  </si>
  <si>
    <t>Data da Proposta:</t>
  </si>
  <si>
    <t>Condições de pagamento:</t>
  </si>
  <si>
    <t>Lead time para início:</t>
  </si>
  <si>
    <t>Prazo de execução:</t>
  </si>
  <si>
    <t>Validade proposta:</t>
  </si>
  <si>
    <t>Faturamento Direto:</t>
  </si>
  <si>
    <t>Nome Centro de Custo:</t>
  </si>
  <si>
    <t>Data prevista para início:</t>
  </si>
  <si>
    <t>Data prevista para término:</t>
  </si>
  <si>
    <t>Histórico da Negociação</t>
  </si>
  <si>
    <t>Proposta inicial:</t>
  </si>
  <si>
    <t>Proposta R01:</t>
  </si>
  <si>
    <t>Proposta R02:</t>
  </si>
  <si>
    <t>Redução total da negociação:</t>
  </si>
  <si>
    <t>Notas Capital Realty:</t>
  </si>
  <si>
    <t>Detalhar o serviço a ser aprovado: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</si>
</sst>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_-&quot;R$&quot;\ * #,##0.00_-;\-&quot;R$&quot;\ * #,##0.00_-;_-&quot;R$&quot;\ * &quot;-&quot;??_-;_-@"/>
    <numFmt numFmtId="166" formatCode="[$R$ -416]#,##0.00"/>
    <numFmt numFmtId="167" formatCode="&quot;R$&quot;\ #,##0.00;[Red]\-&quot;R$&quot;\ #,##0.00"/>
    <numFmt numFmtId="168" formatCode="dd/MM/yyyy"/>
    <numFmt numFmtId="169" formatCode="_([$R$ -416]* #,##0.00_);_([$R$ -416]* \(#,##0.00\);_([$R$ -416]* &quot;-&quot;??_);_(@_)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45195"/>
        <bgColor rgb="FF045195"/>
      </patternFill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</fills>
  <borders count="32">
    <border/>
    <border>
      <left style="medium">
        <color rgb="FF000000"/>
      </lef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left/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medium">
        <color rgb="FF000000"/>
      </left>
      <right style="hair">
        <color rgb="FF000000"/>
      </right>
      <top/>
      <bottom/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2" numFmtId="0" xfId="0" applyAlignment="1" applyBorder="1" applyFill="1" applyFont="1">
      <alignment readingOrder="0" vertical="bottom"/>
    </xf>
    <xf borderId="8" fillId="3" fontId="1" numFmtId="0" xfId="0" applyAlignment="1" applyBorder="1" applyFill="1" applyFont="1">
      <alignment vertical="bottom"/>
    </xf>
    <xf borderId="9" fillId="4" fontId="1" numFmtId="0" xfId="0" applyAlignment="1" applyBorder="1" applyFill="1" applyFont="1">
      <alignment horizontal="left" vertical="bottom"/>
    </xf>
    <xf borderId="10" fillId="4" fontId="1" numFmtId="0" xfId="0" applyAlignment="1" applyBorder="1" applyFill="1" applyFont="1">
      <alignment horizontal="left" vertical="bottom"/>
    </xf>
    <xf borderId="11" fillId="0" fontId="1" numFmtId="0" xfId="0" applyAlignment="1" applyBorder="1" applyFont="1">
      <alignment vertical="center"/>
    </xf>
    <xf borderId="8" fillId="3" fontId="1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left" readingOrder="0" vertical="bottom"/>
    </xf>
    <xf borderId="10" fillId="2" fontId="1" numFmtId="0" xfId="0" applyAlignment="1" applyBorder="1" applyFill="1" applyFont="1">
      <alignment horizontal="left" readingOrder="0" vertical="bottom"/>
    </xf>
    <xf borderId="6" fillId="0" fontId="1" numFmtId="0" xfId="0" applyAlignment="1" applyBorder="1" applyFont="1">
      <alignment horizontal="center"/>
    </xf>
    <xf borderId="11" fillId="0" fontId="1" numFmtId="0" xfId="0" applyAlignment="1" applyBorder="1" applyFont="1">
      <alignment vertical="bottom"/>
    </xf>
    <xf borderId="12" fillId="4" fontId="1" numFmtId="0" xfId="0" applyAlignment="1" applyBorder="1" applyFill="1" applyFont="1">
      <alignment vertical="bottom"/>
    </xf>
    <xf borderId="6" fillId="0" fontId="1" numFmtId="0" xfId="0" applyAlignment="1" applyBorder="1" applyFont="1">
      <alignment horizontal="center" vertical="bottom"/>
    </xf>
    <xf borderId="13" fillId="2" fontId="1" numFmtId="164" xfId="0" applyAlignment="1" applyBorder="1" applyFill="1" applyFont="1" applyNumberFormat="1">
      <alignment horizontal="center" readingOrder="0" vertical="center"/>
    </xf>
    <xf borderId="7" fillId="4" fontId="2" numFmtId="0" xfId="0" applyAlignment="1" applyBorder="1" applyFill="1" applyFont="1">
      <alignment readingOrder="0" vertical="bottom"/>
    </xf>
    <xf borderId="14" fillId="3" fontId="1" numFmtId="0" xfId="0" applyAlignment="1" applyBorder="1" applyFill="1" applyFont="1">
      <alignment vertical="bottom"/>
    </xf>
    <xf borderId="15" fillId="2" fontId="1" numFmtId="0" xfId="0" applyAlignment="1" applyBorder="1" applyFill="1" applyFont="1">
      <alignment horizontal="left" readingOrder="0" vertical="bottom"/>
    </xf>
    <xf borderId="16" fillId="2" fontId="1" numFmtId="0" xfId="0" applyAlignment="1" applyBorder="1" applyFill="1" applyFont="1">
      <alignment horizontal="left" readingOrder="0" vertical="bottom"/>
    </xf>
    <xf borderId="17" fillId="5" fontId="4" numFmtId="49" xfId="0" applyAlignment="1" applyBorder="1" applyFill="1" applyFont="1" applyNumberFormat="1">
      <alignment horizontal="center" readingOrder="0" vertical="bottom"/>
    </xf>
    <xf borderId="18" fillId="5" fontId="4" numFmtId="49" xfId="0" applyAlignment="1" applyBorder="1" applyFill="1" applyFont="1" applyNumberFormat="1">
      <alignment readingOrder="0" vertical="bottom"/>
    </xf>
    <xf borderId="18" fillId="5" fontId="4" numFmtId="49" xfId="0" applyAlignment="1" applyBorder="1" applyFill="1" applyFont="1" applyNumberFormat="1">
      <alignment horizontal="center" vertical="bottom"/>
    </xf>
    <xf borderId="18" fillId="5" fontId="4" numFmtId="165" xfId="0" applyAlignment="1" applyBorder="1" applyFill="1" applyFont="1" applyNumberFormat="1">
      <alignment vertical="bottom"/>
    </xf>
    <xf borderId="19" fillId="5" fontId="4" numFmtId="165" xfId="0" applyAlignment="1" applyBorder="1" applyFill="1" applyFont="1" applyNumberFormat="1">
      <alignment vertical="bottom"/>
    </xf>
    <xf borderId="20" fillId="6" fontId="5" numFmtId="49" xfId="0" applyAlignment="1" applyBorder="1" applyFill="1" applyFont="1" applyNumberFormat="1">
      <alignment horizontal="center" readingOrder="0" vertical="center"/>
    </xf>
    <xf borderId="8" fillId="6" fontId="2" numFmtId="0" xfId="0" applyAlignment="1" applyBorder="1" applyFill="1" applyFont="1">
      <alignment readingOrder="0"/>
    </xf>
    <xf borderId="8" fillId="6" fontId="2" numFmtId="0" xfId="0" applyBorder="1" applyFill="1" applyFont="1"/>
    <xf borderId="8" fillId="6" fontId="2" numFmtId="165" xfId="0" applyBorder="1" applyFill="1" applyFont="1" applyNumberFormat="1"/>
    <xf borderId="10" fillId="6" fontId="2" numFmtId="165" xfId="0" applyBorder="1" applyFill="1" applyFont="1" applyNumberFormat="1"/>
    <xf borderId="20" fillId="3" fontId="6" numFmtId="49" xfId="0" applyAlignment="1" applyBorder="1" applyFill="1" applyFont="1" applyNumberFormat="1">
      <alignment horizontal="center" readingOrder="0" vertical="center"/>
    </xf>
    <xf borderId="8" fillId="0" fontId="1" numFmtId="0" xfId="0" applyAlignment="1" applyBorder="1" applyFont="1">
      <alignment readingOrder="0" shrinkToFit="0" wrapText="1"/>
    </xf>
    <xf borderId="8" fillId="3" fontId="1" numFmtId="0" xfId="0" applyAlignment="1" applyBorder="1" applyFill="1" applyFont="1">
      <alignment readingOrder="0" vertical="bottom"/>
    </xf>
    <xf borderId="8" fillId="2" fontId="1" numFmtId="165" xfId="0" applyAlignment="1" applyBorder="1" applyFill="1" applyFont="1" applyNumberFormat="1">
      <alignment horizontal="center" readingOrder="0" vertical="bottom"/>
    </xf>
    <xf borderId="10" fillId="2" fontId="1" numFmtId="165" xfId="0" applyAlignment="1" applyBorder="1" applyFill="1" applyFont="1" applyNumberFormat="1">
      <alignment horizontal="center" readingOrder="0" vertical="bottom"/>
    </xf>
    <xf borderId="9" fillId="2" fontId="1" numFmtId="165" xfId="0" applyAlignment="1" applyBorder="1" applyFill="1" applyFont="1" applyNumberFormat="1">
      <alignment horizontal="center" readingOrder="0" vertical="bottom"/>
    </xf>
    <xf borderId="21" fillId="7" fontId="4" numFmtId="49" xfId="0" applyAlignment="1" applyBorder="1" applyFill="1" applyFont="1" applyNumberForma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8" fillId="7" fontId="4" numFmtId="166" xfId="0" applyAlignment="1" applyBorder="1" applyFill="1" applyFont="1" applyNumberFormat="1">
      <alignment horizontal="center" vertical="bottom"/>
    </xf>
    <xf borderId="21" fillId="0" fontId="2" numFmtId="0" xfId="0" applyAlignment="1" applyBorder="1" applyFont="1">
      <alignment vertical="bottom"/>
    </xf>
    <xf borderId="9" fillId="2" fontId="1" numFmtId="4" xfId="0" applyAlignment="1" applyBorder="1" applyFill="1" applyFont="1" applyNumberFormat="1">
      <alignment horizontal="center" readingOrder="0" vertical="bottom"/>
    </xf>
    <xf borderId="10" fillId="2" fontId="1" numFmtId="4" xfId="0" applyAlignment="1" applyBorder="1" applyFill="1" applyFont="1" applyNumberFormat="1">
      <alignment horizontal="center" readingOrder="0" vertical="bottom"/>
    </xf>
    <xf borderId="9" fillId="2" fontId="1" numFmtId="164" xfId="0" applyAlignment="1" applyBorder="1" applyFill="1" applyFont="1" applyNumberFormat="1">
      <alignment horizontal="center" readingOrder="0" vertical="bottom"/>
    </xf>
    <xf borderId="10" fillId="2" fontId="1" numFmtId="164" xfId="0" applyAlignment="1" applyBorder="1" applyFill="1" applyFont="1" applyNumberFormat="1">
      <alignment horizontal="center" readingOrder="0" vertical="bottom"/>
    </xf>
    <xf borderId="9" fillId="2" fontId="1" numFmtId="4" xfId="0" applyAlignment="1" applyBorder="1" applyFill="1" applyFont="1" applyNumberFormat="1">
      <alignment horizontal="center" readingOrder="0" shrinkToFit="0" vertical="bottom" wrapText="1"/>
    </xf>
    <xf borderId="10" fillId="2" fontId="1" numFmtId="4" xfId="0" applyAlignment="1" applyBorder="1" applyFill="1" applyFont="1" applyNumberFormat="1">
      <alignment horizontal="center" readingOrder="0" shrinkToFit="0" vertical="bottom" wrapText="1"/>
    </xf>
    <xf borderId="9" fillId="2" fontId="1" numFmtId="3" xfId="0" applyAlignment="1" applyBorder="1" applyFill="1" applyFont="1" applyNumberFormat="1">
      <alignment horizontal="center" readingOrder="0" vertical="bottom"/>
    </xf>
    <xf borderId="10" fillId="2" fontId="1" numFmtId="3" xfId="0" applyAlignment="1" applyBorder="1" applyFill="1" applyFont="1" applyNumberFormat="1">
      <alignment horizontal="center" readingOrder="0" vertical="bottom"/>
    </xf>
    <xf borderId="21" fillId="0" fontId="2" numFmtId="0" xfId="0" applyAlignment="1" applyBorder="1" applyFont="1">
      <alignment shrinkToFit="0" vertical="bottom" wrapText="1"/>
    </xf>
    <xf borderId="22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8" fillId="2" fontId="1" numFmtId="167" xfId="0" applyAlignment="1" applyBorder="1" applyFill="1" applyFont="1" applyNumberFormat="1">
      <alignment horizontal="center" readingOrder="0" vertical="bottom"/>
    </xf>
    <xf borderId="10" fillId="2" fontId="1" numFmtId="167" xfId="0" applyAlignment="1" applyBorder="1" applyFill="1" applyFont="1" applyNumberFormat="1">
      <alignment horizontal="center" readingOrder="0" vertical="bottom"/>
    </xf>
    <xf borderId="8" fillId="2" fontId="1" numFmtId="164" xfId="0" applyAlignment="1" applyBorder="1" applyFill="1" applyFont="1" applyNumberFormat="1">
      <alignment horizontal="center" readingOrder="0" vertical="bottom"/>
    </xf>
    <xf borderId="24" fillId="0" fontId="2" numFmtId="0" xfId="0" applyAlignment="1" applyBorder="1" applyFont="1">
      <alignment vertical="bottom"/>
    </xf>
    <xf borderId="25" fillId="0" fontId="3" numFmtId="0" xfId="0" applyBorder="1" applyFont="1"/>
    <xf borderId="26" fillId="0" fontId="3" numFmtId="0" xfId="0" applyBorder="1" applyFont="1"/>
    <xf borderId="14" fillId="4" fontId="1" numFmtId="168" xfId="0" applyAlignment="1" applyBorder="1" applyFill="1" applyFont="1" applyNumberFormat="1">
      <alignment horizontal="center" vertical="bottom"/>
    </xf>
    <xf borderId="16" fillId="4" fontId="1" numFmtId="168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67" xfId="0" applyAlignment="1" applyFont="1" applyNumberFormat="1">
      <alignment vertical="bottom"/>
    </xf>
    <xf borderId="27" fillId="3" fontId="2" numFmtId="49" xfId="0" applyAlignment="1" applyBorder="1" applyFill="1" applyFont="1" applyNumberFormat="1">
      <alignment horizontal="center" vertical="bottom"/>
    </xf>
    <xf borderId="9" fillId="2" fontId="1" numFmtId="166" xfId="0" applyAlignment="1" applyBorder="1" applyFill="1" applyFont="1" applyNumberFormat="1">
      <alignment horizontal="right" vertical="bottom"/>
    </xf>
    <xf borderId="10" fillId="2" fontId="1" numFmtId="166" xfId="0" applyAlignment="1" applyBorder="1" applyFill="1" applyFont="1" applyNumberFormat="1">
      <alignment horizontal="right" vertical="bottom"/>
    </xf>
    <xf borderId="28" fillId="0" fontId="2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9" fillId="2" fontId="1" numFmtId="169" xfId="0" applyAlignment="1" applyBorder="1" applyFill="1" applyFont="1" applyNumberFormat="1">
      <alignment horizontal="right" readingOrder="0" vertical="bottom"/>
    </xf>
    <xf borderId="10" fillId="2" fontId="1" numFmtId="169" xfId="0" applyAlignment="1" applyBorder="1" applyFill="1" applyFont="1" applyNumberFormat="1">
      <alignment horizontal="right" readingOrder="0" vertical="bottom"/>
    </xf>
    <xf borderId="8" fillId="4" fontId="1" numFmtId="169" xfId="0" applyAlignment="1" applyBorder="1" applyFill="1" applyFont="1" applyNumberFormat="1">
      <alignment horizontal="right" vertical="bottom"/>
    </xf>
    <xf borderId="10" fillId="4" fontId="1" numFmtId="169" xfId="0" applyAlignment="1" applyBorder="1" applyFill="1" applyFont="1" applyNumberFormat="1">
      <alignment horizontal="right" vertical="bottom"/>
    </xf>
    <xf borderId="24" fillId="0" fontId="2" numFmtId="0" xfId="0" applyAlignment="1" applyBorder="1" applyFont="1">
      <alignment vertical="center"/>
    </xf>
    <xf borderId="15" fillId="4" fontId="1" numFmtId="167" xfId="0" applyAlignment="1" applyBorder="1" applyFill="1" applyFont="1" applyNumberFormat="1">
      <alignment shrinkToFit="0" vertical="top" wrapText="1"/>
    </xf>
    <xf borderId="16" fillId="4" fontId="1" numFmtId="167" xfId="0" applyAlignment="1" applyBorder="1" applyFill="1" applyFont="1" applyNumberFormat="1">
      <alignment shrinkToFit="0" vertical="top" wrapText="1"/>
    </xf>
    <xf borderId="27" fillId="5" fontId="4" numFmtId="49" xfId="0" applyAlignment="1" applyBorder="1" applyFill="1" applyFont="1" applyNumberFormat="1">
      <alignment horizontal="center" vertical="bottom"/>
    </xf>
    <xf borderId="24" fillId="2" fontId="1" numFmtId="0" xfId="0" applyAlignment="1" applyBorder="1" applyFill="1" applyFont="1">
      <alignment readingOrder="0" shrinkToFit="0" vertical="top" wrapText="1"/>
    </xf>
    <xf borderId="31" fillId="0" fontId="3" numFmtId="0" xfId="0" applyBorder="1" applyFon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600075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10191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2.75"/>
    <col customWidth="1" min="2" max="2" width="28.5"/>
    <col customWidth="1" min="3" max="3" width="66.25"/>
    <col customWidth="1" min="4" max="4" width="20.25"/>
    <col customWidth="1" min="5" max="7" width="51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2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4"/>
      <c r="C4" s="5" t="s">
        <v>1</v>
      </c>
      <c r="D4" s="6" t="s">
        <v>2</v>
      </c>
      <c r="E4" s="7"/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9"/>
      <c r="C5" s="10" t="s">
        <v>3</v>
      </c>
      <c r="D5" s="11" t="s">
        <v>5</v>
      </c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9"/>
      <c r="C6" s="14" t="s">
        <v>6</v>
      </c>
      <c r="D6" s="15" t="s">
        <v>7</v>
      </c>
      <c r="E6" s="16"/>
      <c r="F6" s="16"/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9"/>
      <c r="C7" s="10"/>
      <c r="D7" s="11" t="s">
        <v>8</v>
      </c>
      <c r="E7" s="16"/>
      <c r="F7" s="16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8" t="s">
        <v>9</v>
      </c>
      <c r="C8" s="19" t="s">
        <v>10</v>
      </c>
      <c r="D8" s="11" t="s">
        <v>11</v>
      </c>
      <c r="E8" s="16"/>
      <c r="F8" s="16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20"/>
      <c r="C9" s="10"/>
      <c r="D9" s="11" t="s">
        <v>12</v>
      </c>
      <c r="E9" s="16"/>
      <c r="F9" s="16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21" t="s">
        <v>13</v>
      </c>
      <c r="C10" s="19" t="s">
        <v>14</v>
      </c>
      <c r="D10" s="11" t="s">
        <v>15</v>
      </c>
      <c r="E10" s="16"/>
      <c r="F10" s="16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22"/>
      <c r="C11" s="23"/>
      <c r="D11" s="24" t="s">
        <v>16</v>
      </c>
      <c r="E11" s="25"/>
      <c r="F11" s="25"/>
      <c r="G11" s="2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27" t="s">
        <v>17</v>
      </c>
      <c r="C12" s="28" t="s">
        <v>18</v>
      </c>
      <c r="D12" s="29" t="s">
        <v>19</v>
      </c>
      <c r="E12" s="30">
        <f t="shared" ref="E12:G12" si="1">E13+E16+E19</f>
        <v>0</v>
      </c>
      <c r="F12" s="30">
        <f t="shared" si="1"/>
        <v>0</v>
      </c>
      <c r="G12" s="31">
        <f t="shared" si="1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32" t="s">
        <v>20</v>
      </c>
      <c r="C13" s="33" t="s">
        <v>21</v>
      </c>
      <c r="D13" s="34"/>
      <c r="E13" s="35">
        <f t="shared" ref="E13:G13" si="2">SUM(E14:E15)</f>
        <v>0</v>
      </c>
      <c r="F13" s="35">
        <f t="shared" si="2"/>
        <v>0</v>
      </c>
      <c r="G13" s="36">
        <f t="shared" si="2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outlineLevel="1">
      <c r="A14" s="1"/>
      <c r="B14" s="37" t="s">
        <v>22</v>
      </c>
      <c r="C14" s="38" t="s">
        <v>23</v>
      </c>
      <c r="D14" s="39"/>
      <c r="E14" s="40"/>
      <c r="F14" s="40"/>
      <c r="G14" s="4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outlineLevel="1">
      <c r="A15" s="1"/>
      <c r="B15" s="37" t="s">
        <v>24</v>
      </c>
      <c r="C15" s="38" t="s">
        <v>25</v>
      </c>
      <c r="D15" s="39"/>
      <c r="E15" s="40"/>
      <c r="F15" s="40"/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32" t="s">
        <v>26</v>
      </c>
      <c r="C16" s="33" t="s">
        <v>27</v>
      </c>
      <c r="D16" s="34"/>
      <c r="E16" s="35">
        <f t="shared" ref="E16:G16" si="3">SUM(E17:E18)</f>
        <v>0</v>
      </c>
      <c r="F16" s="35">
        <f t="shared" si="3"/>
        <v>0</v>
      </c>
      <c r="G16" s="36">
        <f t="shared" si="3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outlineLevel="1">
      <c r="A17" s="1"/>
      <c r="B17" s="37" t="s">
        <v>28</v>
      </c>
      <c r="C17" s="38" t="s">
        <v>23</v>
      </c>
      <c r="D17" s="39"/>
      <c r="E17" s="40"/>
      <c r="F17" s="40"/>
      <c r="G17" s="4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outlineLevel="1">
      <c r="A18" s="1"/>
      <c r="B18" s="37" t="s">
        <v>29</v>
      </c>
      <c r="C18" s="38" t="s">
        <v>25</v>
      </c>
      <c r="D18" s="39"/>
      <c r="E18" s="40"/>
      <c r="F18" s="40"/>
      <c r="G18" s="4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32" t="s">
        <v>30</v>
      </c>
      <c r="C19" s="33" t="s">
        <v>31</v>
      </c>
      <c r="D19" s="34"/>
      <c r="E19" s="35">
        <f t="shared" ref="E19:G19" si="4">SUM(E20:E22)</f>
        <v>0</v>
      </c>
      <c r="F19" s="35">
        <f t="shared" si="4"/>
        <v>0</v>
      </c>
      <c r="G19" s="36">
        <f t="shared" si="4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outlineLevel="1">
      <c r="A20" s="1"/>
      <c r="B20" s="37" t="s">
        <v>32</v>
      </c>
      <c r="C20" s="38" t="s">
        <v>23</v>
      </c>
      <c r="D20" s="39"/>
      <c r="E20" s="42"/>
      <c r="F20" s="42"/>
      <c r="G20" s="4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outlineLevel="1">
      <c r="A21" s="1"/>
      <c r="B21" s="37" t="s">
        <v>33</v>
      </c>
      <c r="C21" s="38" t="s">
        <v>25</v>
      </c>
      <c r="D21" s="39"/>
      <c r="E21" s="42"/>
      <c r="F21" s="42"/>
      <c r="G21" s="4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outlineLevel="1">
      <c r="A22" s="1"/>
      <c r="B22" s="37" t="s">
        <v>34</v>
      </c>
      <c r="C22" s="38" t="s">
        <v>35</v>
      </c>
      <c r="D22" s="39"/>
      <c r="E22" s="42"/>
      <c r="F22" s="42"/>
      <c r="G22" s="4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27" t="s">
        <v>36</v>
      </c>
      <c r="C23" s="28" t="s">
        <v>37</v>
      </c>
      <c r="D23" s="29"/>
      <c r="E23" s="30">
        <f t="shared" ref="E23:G23" si="5">E24+E26</f>
        <v>0</v>
      </c>
      <c r="F23" s="30">
        <f t="shared" si="5"/>
        <v>0</v>
      </c>
      <c r="G23" s="31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32" t="s">
        <v>38</v>
      </c>
      <c r="C24" s="33" t="s">
        <v>21</v>
      </c>
      <c r="D24" s="34"/>
      <c r="E24" s="35">
        <f t="shared" ref="E24:F24" si="6">SUM(E25)</f>
        <v>0</v>
      </c>
      <c r="F24" s="35">
        <f t="shared" si="6"/>
        <v>0</v>
      </c>
      <c r="G24" s="36" t="str">
        <f>G25</f>
        <v/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outlineLevel="1">
      <c r="A25" s="1"/>
      <c r="B25" s="37" t="s">
        <v>39</v>
      </c>
      <c r="C25" s="38" t="s">
        <v>23</v>
      </c>
      <c r="D25" s="11"/>
      <c r="E25" s="42"/>
      <c r="F25" s="42"/>
      <c r="G25" s="4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32" t="s">
        <v>40</v>
      </c>
      <c r="C26" s="33" t="s">
        <v>27</v>
      </c>
      <c r="D26" s="34"/>
      <c r="E26" s="35">
        <f t="shared" ref="E26:G26" si="7">SUM(E27:E29)</f>
        <v>0</v>
      </c>
      <c r="F26" s="35">
        <f t="shared" si="7"/>
        <v>0</v>
      </c>
      <c r="G26" s="36">
        <f t="shared" si="7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outlineLevel="1">
      <c r="A27" s="1"/>
      <c r="B27" s="37" t="s">
        <v>39</v>
      </c>
      <c r="C27" s="38" t="s">
        <v>23</v>
      </c>
      <c r="D27" s="11"/>
      <c r="E27" s="42"/>
      <c r="F27" s="42"/>
      <c r="G27" s="4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outlineLevel="1">
      <c r="A28" s="1"/>
      <c r="B28" s="37" t="s">
        <v>41</v>
      </c>
      <c r="C28" s="38" t="s">
        <v>25</v>
      </c>
      <c r="D28" s="11"/>
      <c r="E28" s="42"/>
      <c r="F28" s="42"/>
      <c r="G28" s="4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outlineLevel="1">
      <c r="A29" s="1"/>
      <c r="B29" s="37" t="s">
        <v>42</v>
      </c>
      <c r="C29" s="38" t="s">
        <v>35</v>
      </c>
      <c r="D29" s="11"/>
      <c r="E29" s="42"/>
      <c r="F29" s="42"/>
      <c r="G29" s="4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43" t="s">
        <v>43</v>
      </c>
      <c r="C30" s="44"/>
      <c r="D30" s="45"/>
      <c r="E30" s="46">
        <f t="shared" ref="E30:G30" si="8">E12+E23</f>
        <v>0</v>
      </c>
      <c r="F30" s="46">
        <f t="shared" si="8"/>
        <v>0</v>
      </c>
      <c r="G30" s="46">
        <f t="shared" si="8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47" t="s">
        <v>44</v>
      </c>
      <c r="C31" s="44"/>
      <c r="D31" s="45"/>
      <c r="E31" s="48"/>
      <c r="F31" s="48"/>
      <c r="G31" s="4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47" t="s">
        <v>45</v>
      </c>
      <c r="C32" s="44"/>
      <c r="D32" s="45"/>
      <c r="E32" s="50"/>
      <c r="F32" s="50"/>
      <c r="G32" s="5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47" t="s">
        <v>46</v>
      </c>
      <c r="C33" s="44"/>
      <c r="D33" s="45"/>
      <c r="E33" s="52"/>
      <c r="F33" s="52"/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47" t="s">
        <v>47</v>
      </c>
      <c r="C34" s="44"/>
      <c r="D34" s="45"/>
      <c r="E34" s="54"/>
      <c r="F34" s="54"/>
      <c r="G34" s="5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47" t="s">
        <v>48</v>
      </c>
      <c r="C35" s="44"/>
      <c r="D35" s="45"/>
      <c r="E35" s="54"/>
      <c r="F35" s="54"/>
      <c r="G35" s="5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47" t="s">
        <v>49</v>
      </c>
      <c r="C36" s="44"/>
      <c r="D36" s="45"/>
      <c r="E36" s="54"/>
      <c r="F36" s="54"/>
      <c r="G36" s="5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47" t="s">
        <v>50</v>
      </c>
      <c r="C37" s="44"/>
      <c r="D37" s="45"/>
      <c r="E37" s="54"/>
      <c r="F37" s="54"/>
      <c r="G37" s="5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56" t="s">
        <v>51</v>
      </c>
      <c r="C38" s="57"/>
      <c r="D38" s="58"/>
      <c r="E38" s="59"/>
      <c r="F38" s="59"/>
      <c r="G38" s="6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47" t="s">
        <v>52</v>
      </c>
      <c r="C39" s="44"/>
      <c r="D39" s="45"/>
      <c r="E39" s="61"/>
      <c r="F39" s="61"/>
      <c r="G39" s="5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62" t="s">
        <v>53</v>
      </c>
      <c r="C40" s="63"/>
      <c r="D40" s="64"/>
      <c r="E40" s="65">
        <f t="shared" ref="E40:G40" si="9">E39+E35</f>
        <v>0</v>
      </c>
      <c r="F40" s="65">
        <f t="shared" si="9"/>
        <v>0</v>
      </c>
      <c r="G40" s="66">
        <f t="shared" si="9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67"/>
      <c r="C41" s="67"/>
      <c r="D41" s="67"/>
      <c r="E41" s="68"/>
      <c r="F41" s="68"/>
      <c r="G41" s="6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69" t="s">
        <v>54</v>
      </c>
      <c r="C42" s="7"/>
      <c r="D42" s="7"/>
      <c r="E42" s="7"/>
      <c r="F42" s="7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47" t="s">
        <v>55</v>
      </c>
      <c r="C43" s="44"/>
      <c r="D43" s="45"/>
      <c r="E43" s="70"/>
      <c r="F43" s="70"/>
      <c r="G43" s="7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72" t="s">
        <v>56</v>
      </c>
      <c r="C44" s="73"/>
      <c r="D44" s="74"/>
      <c r="E44" s="75"/>
      <c r="F44" s="75"/>
      <c r="G44" s="7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72" t="s">
        <v>57</v>
      </c>
      <c r="C45" s="73"/>
      <c r="D45" s="74"/>
      <c r="E45" s="75"/>
      <c r="F45" s="75"/>
      <c r="G45" s="7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47" t="s">
        <v>58</v>
      </c>
      <c r="C46" s="44"/>
      <c r="D46" s="45"/>
      <c r="E46" s="77">
        <f t="shared" ref="E46:G46" si="10">E43-E30</f>
        <v>0</v>
      </c>
      <c r="F46" s="77">
        <f t="shared" si="10"/>
        <v>0</v>
      </c>
      <c r="G46" s="78">
        <f t="shared" si="10"/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79" t="s">
        <v>59</v>
      </c>
      <c r="C47" s="63"/>
      <c r="D47" s="64"/>
      <c r="E47" s="80"/>
      <c r="F47" s="80"/>
      <c r="G47" s="8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67"/>
      <c r="C48" s="67"/>
      <c r="D48" s="67"/>
      <c r="E48" s="68"/>
      <c r="F48" s="68"/>
      <c r="G48" s="6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82" t="s">
        <v>60</v>
      </c>
      <c r="C49" s="7"/>
      <c r="D49" s="7"/>
      <c r="E49" s="7"/>
      <c r="F49" s="7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32.25" customHeight="1">
      <c r="A50" s="1"/>
      <c r="B50" s="83"/>
      <c r="C50" s="63"/>
      <c r="D50" s="63"/>
      <c r="E50" s="63"/>
      <c r="F50" s="63"/>
      <c r="G50" s="8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85"/>
      <c r="F52" s="85"/>
      <c r="G52" s="8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8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</sheetData>
  <mergeCells count="18">
    <mergeCell ref="B4:B7"/>
    <mergeCell ref="D4:G4"/>
    <mergeCell ref="B30:D30"/>
    <mergeCell ref="B31:D31"/>
    <mergeCell ref="B32:D32"/>
    <mergeCell ref="B33:D33"/>
    <mergeCell ref="B34:D34"/>
    <mergeCell ref="B46:D46"/>
    <mergeCell ref="B47:D47"/>
    <mergeCell ref="B49:G49"/>
    <mergeCell ref="B50:G50"/>
    <mergeCell ref="B35:D35"/>
    <mergeCell ref="B36:D36"/>
    <mergeCell ref="B37:D37"/>
    <mergeCell ref="B39:D39"/>
    <mergeCell ref="B40:D40"/>
    <mergeCell ref="B42:G42"/>
    <mergeCell ref="B43:D43"/>
  </mergeCells>
  <dataValidations>
    <dataValidation type="list" allowBlank="1" showErrorMessage="1" sqref="C7">
      <formula1>"MEGA CENTRO LOGÍSTICO CURITIBA,MEGA CENTRO LOGÍSTICO ITAJAÍ,MEGA CENTRO LOGÍSTICO ESTEIO"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2.75"/>
    <col customWidth="1" min="2" max="2" width="28.5"/>
    <col customWidth="1" min="3" max="3" width="66.25"/>
    <col customWidth="1" min="4" max="4" width="20.25"/>
    <col customWidth="1" min="5" max="7" width="51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2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4"/>
      <c r="C4" s="5" t="s">
        <v>1</v>
      </c>
      <c r="D4" s="6" t="s">
        <v>2</v>
      </c>
      <c r="E4" s="7"/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9"/>
      <c r="C5" s="10" t="s">
        <v>4</v>
      </c>
      <c r="D5" s="11" t="s">
        <v>5</v>
      </c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9"/>
      <c r="C6" s="14" t="s">
        <v>6</v>
      </c>
      <c r="D6" s="15" t="s">
        <v>7</v>
      </c>
      <c r="E6" s="16"/>
      <c r="F6" s="16"/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9"/>
      <c r="C7" s="10"/>
      <c r="D7" s="11" t="s">
        <v>8</v>
      </c>
      <c r="E7" s="16"/>
      <c r="F7" s="16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8" t="s">
        <v>9</v>
      </c>
      <c r="C8" s="19" t="s">
        <v>10</v>
      </c>
      <c r="D8" s="11" t="s">
        <v>11</v>
      </c>
      <c r="E8" s="16"/>
      <c r="F8" s="16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20"/>
      <c r="C9" s="10"/>
      <c r="D9" s="11" t="s">
        <v>12</v>
      </c>
      <c r="E9" s="16"/>
      <c r="F9" s="16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21" t="s">
        <v>13</v>
      </c>
      <c r="C10" s="19" t="s">
        <v>14</v>
      </c>
      <c r="D10" s="11" t="s">
        <v>15</v>
      </c>
      <c r="E10" s="16"/>
      <c r="F10" s="16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22"/>
      <c r="C11" s="23"/>
      <c r="D11" s="24" t="s">
        <v>16</v>
      </c>
      <c r="E11" s="25"/>
      <c r="F11" s="25"/>
      <c r="G11" s="2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27" t="s">
        <v>17</v>
      </c>
      <c r="C12" s="28" t="s">
        <v>18</v>
      </c>
      <c r="D12" s="29" t="s">
        <v>19</v>
      </c>
      <c r="E12" s="30">
        <f t="shared" ref="E12:G12" si="1">E13+E16+E19</f>
        <v>0</v>
      </c>
      <c r="F12" s="30">
        <f t="shared" si="1"/>
        <v>0</v>
      </c>
      <c r="G12" s="31">
        <f t="shared" si="1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32" t="s">
        <v>20</v>
      </c>
      <c r="C13" s="33" t="s">
        <v>21</v>
      </c>
      <c r="D13" s="34"/>
      <c r="E13" s="35">
        <f t="shared" ref="E13:G13" si="2">SUM(E14:E15)</f>
        <v>0</v>
      </c>
      <c r="F13" s="35">
        <f t="shared" si="2"/>
        <v>0</v>
      </c>
      <c r="G13" s="36">
        <f t="shared" si="2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outlineLevel="1">
      <c r="A14" s="1"/>
      <c r="B14" s="37" t="s">
        <v>22</v>
      </c>
      <c r="C14" s="38" t="s">
        <v>23</v>
      </c>
      <c r="D14" s="39"/>
      <c r="E14" s="40"/>
      <c r="F14" s="40"/>
      <c r="G14" s="4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outlineLevel="1">
      <c r="A15" s="1"/>
      <c r="B15" s="37" t="s">
        <v>24</v>
      </c>
      <c r="C15" s="38" t="s">
        <v>25</v>
      </c>
      <c r="D15" s="39"/>
      <c r="E15" s="40"/>
      <c r="F15" s="40"/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32" t="s">
        <v>26</v>
      </c>
      <c r="C16" s="33" t="s">
        <v>27</v>
      </c>
      <c r="D16" s="34"/>
      <c r="E16" s="35">
        <f t="shared" ref="E16:G16" si="3">SUM(E17:E18)</f>
        <v>0</v>
      </c>
      <c r="F16" s="35">
        <f t="shared" si="3"/>
        <v>0</v>
      </c>
      <c r="G16" s="36">
        <f t="shared" si="3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outlineLevel="1">
      <c r="A17" s="1"/>
      <c r="B17" s="37" t="s">
        <v>28</v>
      </c>
      <c r="C17" s="38" t="s">
        <v>23</v>
      </c>
      <c r="D17" s="39"/>
      <c r="E17" s="40"/>
      <c r="F17" s="40"/>
      <c r="G17" s="4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outlineLevel="1">
      <c r="A18" s="1"/>
      <c r="B18" s="37" t="s">
        <v>29</v>
      </c>
      <c r="C18" s="38" t="s">
        <v>25</v>
      </c>
      <c r="D18" s="39"/>
      <c r="E18" s="40"/>
      <c r="F18" s="40"/>
      <c r="G18" s="4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32" t="s">
        <v>30</v>
      </c>
      <c r="C19" s="33" t="s">
        <v>31</v>
      </c>
      <c r="D19" s="34"/>
      <c r="E19" s="35">
        <f t="shared" ref="E19:G19" si="4">SUM(E20:E22)</f>
        <v>0</v>
      </c>
      <c r="F19" s="35">
        <f t="shared" si="4"/>
        <v>0</v>
      </c>
      <c r="G19" s="36">
        <f t="shared" si="4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outlineLevel="1">
      <c r="A20" s="1"/>
      <c r="B20" s="37" t="s">
        <v>32</v>
      </c>
      <c r="C20" s="38" t="s">
        <v>23</v>
      </c>
      <c r="D20" s="39"/>
      <c r="E20" s="42"/>
      <c r="F20" s="42"/>
      <c r="G20" s="4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outlineLevel="1">
      <c r="A21" s="1"/>
      <c r="B21" s="37" t="s">
        <v>33</v>
      </c>
      <c r="C21" s="38" t="s">
        <v>25</v>
      </c>
      <c r="D21" s="39"/>
      <c r="E21" s="42"/>
      <c r="F21" s="42"/>
      <c r="G21" s="4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outlineLevel="1">
      <c r="A22" s="1"/>
      <c r="B22" s="37" t="s">
        <v>34</v>
      </c>
      <c r="C22" s="38" t="s">
        <v>35</v>
      </c>
      <c r="D22" s="39"/>
      <c r="E22" s="42"/>
      <c r="F22" s="42"/>
      <c r="G22" s="4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27" t="s">
        <v>36</v>
      </c>
      <c r="C23" s="28" t="s">
        <v>37</v>
      </c>
      <c r="D23" s="29"/>
      <c r="E23" s="30">
        <f t="shared" ref="E23:G23" si="5">E24+E26</f>
        <v>0</v>
      </c>
      <c r="F23" s="30">
        <f t="shared" si="5"/>
        <v>0</v>
      </c>
      <c r="G23" s="31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32" t="s">
        <v>38</v>
      </c>
      <c r="C24" s="33" t="s">
        <v>21</v>
      </c>
      <c r="D24" s="34"/>
      <c r="E24" s="35">
        <f t="shared" ref="E24:F24" si="6">SUM(E25)</f>
        <v>0</v>
      </c>
      <c r="F24" s="35">
        <f t="shared" si="6"/>
        <v>0</v>
      </c>
      <c r="G24" s="36" t="str">
        <f>G25</f>
        <v/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outlineLevel="1">
      <c r="A25" s="1"/>
      <c r="B25" s="37" t="s">
        <v>39</v>
      </c>
      <c r="C25" s="38" t="s">
        <v>23</v>
      </c>
      <c r="D25" s="11"/>
      <c r="E25" s="42"/>
      <c r="F25" s="42"/>
      <c r="G25" s="4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32" t="s">
        <v>40</v>
      </c>
      <c r="C26" s="33" t="s">
        <v>27</v>
      </c>
      <c r="D26" s="34"/>
      <c r="E26" s="35">
        <f t="shared" ref="E26:G26" si="7">SUM(E27:E29)</f>
        <v>0</v>
      </c>
      <c r="F26" s="35">
        <f t="shared" si="7"/>
        <v>0</v>
      </c>
      <c r="G26" s="36">
        <f t="shared" si="7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outlineLevel="1">
      <c r="A27" s="1"/>
      <c r="B27" s="37" t="s">
        <v>39</v>
      </c>
      <c r="C27" s="38" t="s">
        <v>23</v>
      </c>
      <c r="D27" s="11"/>
      <c r="E27" s="42"/>
      <c r="F27" s="42"/>
      <c r="G27" s="4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outlineLevel="1">
      <c r="A28" s="1"/>
      <c r="B28" s="37" t="s">
        <v>41</v>
      </c>
      <c r="C28" s="38" t="s">
        <v>25</v>
      </c>
      <c r="D28" s="11"/>
      <c r="E28" s="42"/>
      <c r="F28" s="42"/>
      <c r="G28" s="4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outlineLevel="1">
      <c r="A29" s="1"/>
      <c r="B29" s="37" t="s">
        <v>42</v>
      </c>
      <c r="C29" s="38" t="s">
        <v>35</v>
      </c>
      <c r="D29" s="11"/>
      <c r="E29" s="42"/>
      <c r="F29" s="42"/>
      <c r="G29" s="4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43" t="s">
        <v>43</v>
      </c>
      <c r="C30" s="44"/>
      <c r="D30" s="45"/>
      <c r="E30" s="46">
        <f t="shared" ref="E30:G30" si="8">E12+E23</f>
        <v>0</v>
      </c>
      <c r="F30" s="46">
        <f t="shared" si="8"/>
        <v>0</v>
      </c>
      <c r="G30" s="46">
        <f t="shared" si="8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47" t="s">
        <v>44</v>
      </c>
      <c r="C31" s="44"/>
      <c r="D31" s="45"/>
      <c r="E31" s="48"/>
      <c r="F31" s="48"/>
      <c r="G31" s="4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47" t="s">
        <v>45</v>
      </c>
      <c r="C32" s="44"/>
      <c r="D32" s="45"/>
      <c r="E32" s="50"/>
      <c r="F32" s="50"/>
      <c r="G32" s="5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47" t="s">
        <v>46</v>
      </c>
      <c r="C33" s="44"/>
      <c r="D33" s="45"/>
      <c r="E33" s="52"/>
      <c r="F33" s="52"/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47" t="s">
        <v>47</v>
      </c>
      <c r="C34" s="44"/>
      <c r="D34" s="45"/>
      <c r="E34" s="54"/>
      <c r="F34" s="54"/>
      <c r="G34" s="5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47" t="s">
        <v>48</v>
      </c>
      <c r="C35" s="44"/>
      <c r="D35" s="45"/>
      <c r="E35" s="54"/>
      <c r="F35" s="54"/>
      <c r="G35" s="5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47" t="s">
        <v>49</v>
      </c>
      <c r="C36" s="44"/>
      <c r="D36" s="45"/>
      <c r="E36" s="54"/>
      <c r="F36" s="54"/>
      <c r="G36" s="5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47" t="s">
        <v>50</v>
      </c>
      <c r="C37" s="44"/>
      <c r="D37" s="45"/>
      <c r="E37" s="54"/>
      <c r="F37" s="54"/>
      <c r="G37" s="5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56" t="s">
        <v>51</v>
      </c>
      <c r="C38" s="57"/>
      <c r="D38" s="58"/>
      <c r="E38" s="59"/>
      <c r="F38" s="59"/>
      <c r="G38" s="6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47" t="s">
        <v>52</v>
      </c>
      <c r="C39" s="44"/>
      <c r="D39" s="45"/>
      <c r="E39" s="61"/>
      <c r="F39" s="61"/>
      <c r="G39" s="5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62" t="s">
        <v>53</v>
      </c>
      <c r="C40" s="63"/>
      <c r="D40" s="64"/>
      <c r="E40" s="65">
        <f t="shared" ref="E40:G40" si="9">E39+E35</f>
        <v>0</v>
      </c>
      <c r="F40" s="65">
        <f t="shared" si="9"/>
        <v>0</v>
      </c>
      <c r="G40" s="66">
        <f t="shared" si="9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67"/>
      <c r="C41" s="67"/>
      <c r="D41" s="67"/>
      <c r="E41" s="68"/>
      <c r="F41" s="68"/>
      <c r="G41" s="6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69" t="s">
        <v>54</v>
      </c>
      <c r="C42" s="7"/>
      <c r="D42" s="7"/>
      <c r="E42" s="7"/>
      <c r="F42" s="7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47" t="s">
        <v>55</v>
      </c>
      <c r="C43" s="44"/>
      <c r="D43" s="45"/>
      <c r="E43" s="70"/>
      <c r="F43" s="70"/>
      <c r="G43" s="7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72" t="s">
        <v>56</v>
      </c>
      <c r="C44" s="73"/>
      <c r="D44" s="74"/>
      <c r="E44" s="75"/>
      <c r="F44" s="75"/>
      <c r="G44" s="7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72" t="s">
        <v>57</v>
      </c>
      <c r="C45" s="73"/>
      <c r="D45" s="74"/>
      <c r="E45" s="75"/>
      <c r="F45" s="75"/>
      <c r="G45" s="7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47" t="s">
        <v>58</v>
      </c>
      <c r="C46" s="44"/>
      <c r="D46" s="45"/>
      <c r="E46" s="77">
        <f t="shared" ref="E46:G46" si="10">E43-E30</f>
        <v>0</v>
      </c>
      <c r="F46" s="77">
        <f t="shared" si="10"/>
        <v>0</v>
      </c>
      <c r="G46" s="78">
        <f t="shared" si="10"/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79" t="s">
        <v>59</v>
      </c>
      <c r="C47" s="63"/>
      <c r="D47" s="64"/>
      <c r="E47" s="80"/>
      <c r="F47" s="80"/>
      <c r="G47" s="8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67"/>
      <c r="C48" s="67"/>
      <c r="D48" s="67"/>
      <c r="E48" s="68"/>
      <c r="F48" s="68"/>
      <c r="G48" s="6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82" t="s">
        <v>60</v>
      </c>
      <c r="C49" s="7"/>
      <c r="D49" s="7"/>
      <c r="E49" s="7"/>
      <c r="F49" s="7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32.25" customHeight="1">
      <c r="A50" s="1"/>
      <c r="B50" s="83"/>
      <c r="C50" s="63"/>
      <c r="D50" s="63"/>
      <c r="E50" s="63"/>
      <c r="F50" s="63"/>
      <c r="G50" s="8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85"/>
      <c r="F52" s="85"/>
      <c r="G52" s="8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8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</sheetData>
  <mergeCells count="18">
    <mergeCell ref="B4:B7"/>
    <mergeCell ref="D4:G4"/>
    <mergeCell ref="B30:D30"/>
    <mergeCell ref="B31:D31"/>
    <mergeCell ref="B32:D32"/>
    <mergeCell ref="B33:D33"/>
    <mergeCell ref="B34:D34"/>
    <mergeCell ref="B46:D46"/>
    <mergeCell ref="B47:D47"/>
    <mergeCell ref="B49:G49"/>
    <mergeCell ref="B50:G50"/>
    <mergeCell ref="B35:D35"/>
    <mergeCell ref="B36:D36"/>
    <mergeCell ref="B37:D37"/>
    <mergeCell ref="B39:D39"/>
    <mergeCell ref="B40:D40"/>
    <mergeCell ref="B42:G42"/>
    <mergeCell ref="B43:D43"/>
  </mergeCells>
  <dataValidations>
    <dataValidation type="list" allowBlank="1" showErrorMessage="1" sqref="C7">
      <formula1>"MEGA CENTRO LOGÍSTICO CURITIBA,MEGA CENTRO LOGÍSTICO ITAJAÍ,MEGA CENTRO LOGÍSTICO ESTEIO"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